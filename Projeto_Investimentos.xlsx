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cs\Diversos\Evidencias lojas\cursos\BootCamp Excell Dio\"/>
    </mc:Choice>
  </mc:AlternateContent>
  <xr:revisionPtr revIDLastSave="0" documentId="13_ncr:1_{B5A4F9FB-F633-4DDE-BF09-0FD9DC7FD78D}" xr6:coauthVersionLast="47" xr6:coauthVersionMax="47" xr10:uidLastSave="{00000000-0000-0000-0000-000000000000}"/>
  <bookViews>
    <workbookView xWindow="-110" yWindow="-110" windowWidth="19420" windowHeight="10300" tabRatio="330" xr2:uid="{88A9E807-4C34-46A2-92B3-20690D9F4B8E}"/>
  </bookViews>
  <sheets>
    <sheet name="Investimento_Por_FII" sheetId="1" r:id="rId1"/>
    <sheet name="Perfil_Investidor" sheetId="2" r:id="rId2"/>
  </sheets>
  <definedNames>
    <definedName name="Div_mensal">Investimento_Por_FII!$D$23</definedName>
    <definedName name="Investir_mes">Investimento_Por_FII!$D$19</definedName>
    <definedName name="Patrimonio_acumulado">Investimento_Por_FII!$D$22</definedName>
    <definedName name="Qtd_10_anos">Investimento_Por_FII!$D$28</definedName>
    <definedName name="Qtd_15_anos">Investimento_Por_FII!$D$29</definedName>
    <definedName name="Qtd_2_anos">Investimento_Por_FII!$D$26</definedName>
    <definedName name="Qtd_20_anos">Investimento_Por_FII!$D$30</definedName>
    <definedName name="Qtd_25_anos">Investimento_Por_FII!$D$31</definedName>
    <definedName name="Qtd_30_anos">Investimento_Por_FII!$D$32</definedName>
    <definedName name="Qtd_5_anos">Investimento_Por_FII!$D$27</definedName>
    <definedName name="Quantos_anos">Investimento_Por_FII!$D$20</definedName>
    <definedName name="Rend_carteira">Investimento_Por_FII!$D$15</definedName>
    <definedName name="Rendimento_mensal">Investimento_Por_FII!$D$21</definedName>
    <definedName name="Salario">Investimento_Por_FII!$D$14</definedName>
    <definedName name="sugestao_investimento">Investimento_Por_FII!$D$16</definedName>
  </definedNames>
  <calcPr calcId="191029"/>
  <pivotCaches>
    <pivotCache cacheId="8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C22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21" i="1"/>
  <c r="D19" i="1"/>
  <c r="C35" i="1" s="1"/>
  <c r="D40" i="1" l="1"/>
  <c r="D39" i="1"/>
  <c r="D38" i="1"/>
  <c r="D43" i="1"/>
  <c r="D41" i="1"/>
  <c r="D42" i="1"/>
  <c r="D22" i="1"/>
  <c r="D23" i="1" s="1"/>
  <c r="C32" i="1"/>
  <c r="D32" i="1" s="1"/>
  <c r="C26" i="1"/>
  <c r="D26" i="1" s="1"/>
  <c r="C31" i="1"/>
  <c r="D31" i="1" s="1"/>
  <c r="C27" i="1"/>
  <c r="D27" i="1" s="1"/>
  <c r="C29" i="1"/>
  <c r="D29" i="1" s="1"/>
  <c r="C30" i="1"/>
  <c r="D30" i="1" s="1"/>
  <c r="C28" i="1"/>
  <c r="D28" i="1" s="1"/>
  <c r="D4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Manoel</author>
  </authors>
  <commentList>
    <comment ref="D14" authorId="0" shapeId="0" xr:uid="{ED8E0423-8BCB-426A-8031-5AEFAF7B2DAF}">
      <text>
        <r>
          <rPr>
            <sz val="9"/>
            <color indexed="81"/>
            <rFont val="Segoe UI"/>
            <family val="2"/>
          </rPr>
          <t>Altere o valor conforme seu salario ou rendimentos mensais.</t>
        </r>
      </text>
    </comment>
    <comment ref="D15" authorId="0" shapeId="0" xr:uid="{E2C6ACBE-622F-41E8-B7E7-014E0B93F882}">
      <text>
        <r>
          <rPr>
            <sz val="9"/>
            <color indexed="81"/>
            <rFont val="Segoe UI"/>
            <family val="2"/>
          </rPr>
          <t>Altere o rendimento da carteira conforme os juros mensais.</t>
        </r>
      </text>
    </comment>
    <comment ref="D16" authorId="0" shapeId="0" xr:uid="{47C7DB7F-E69C-4B56-82FF-6033826BE8FB}">
      <text>
        <r>
          <rPr>
            <sz val="9"/>
            <color indexed="81"/>
            <rFont val="Segoe UI"/>
            <family val="2"/>
          </rPr>
          <t>Altere a porcentagem de invetivento mensal conforme seu perfil ou planos para o futuro.</t>
        </r>
      </text>
    </comment>
  </commentList>
</comments>
</file>

<file path=xl/sharedStrings.xml><?xml version="1.0" encoding="utf-8"?>
<sst xmlns="http://schemas.openxmlformats.org/spreadsheetml/2006/main" count="96" uniqueCount="48">
  <si>
    <t>BASE INVESTIMENTOS</t>
  </si>
  <si>
    <t>Rendimento da carteira</t>
  </si>
  <si>
    <t>Sugestão de investimento</t>
  </si>
  <si>
    <t>INVESTIMENTO MENSAL</t>
  </si>
  <si>
    <t>Quanto invertir por mês?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</si>
  <si>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</si>
  <si>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</si>
  <si>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</si>
  <si>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</si>
  <si>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</si>
  <si>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</si>
  <si>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10 anos?</t>
  </si>
  <si>
    <t>Quanto em 5 anos?</t>
  </si>
  <si>
    <t>Quanto em 15 anos?</t>
  </si>
  <si>
    <t>Quanto em 20 anos?</t>
  </si>
  <si>
    <t>Quanto em 25 anos?</t>
  </si>
  <si>
    <t>Quanto em 30 anos?</t>
  </si>
  <si>
    <t>PERFIL</t>
  </si>
  <si>
    <t>VALOR INVETIDO MENSALMENTE</t>
  </si>
  <si>
    <t>TIPO DE FII</t>
  </si>
  <si>
    <t>Valores</t>
  </si>
  <si>
    <t>Moderado</t>
  </si>
  <si>
    <t>Dividendo</t>
  </si>
  <si>
    <t>Salário mensal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</si>
  <si>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</si>
  <si>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</si>
  <si>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</si>
  <si>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</si>
  <si>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</si>
  <si>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</si>
  <si>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</si>
  <si>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TOTAL</t>
  </si>
  <si>
    <t>Agressivo</t>
  </si>
  <si>
    <t>Conservador</t>
  </si>
  <si>
    <t>Perfil</t>
  </si>
  <si>
    <t>Tipo FII</t>
  </si>
  <si>
    <t>Percentual</t>
  </si>
  <si>
    <t>Soma de Percentual</t>
  </si>
  <si>
    <t>Rótulos de Coluna</t>
  </si>
  <si>
    <t>Papel</t>
  </si>
  <si>
    <t>Rótulos de Linha</t>
  </si>
  <si>
    <t>Desenvolvimento</t>
  </si>
  <si>
    <t>Híbridos</t>
  </si>
  <si>
    <t>Hotelarias</t>
  </si>
  <si>
    <t>Tijolo</t>
  </si>
  <si>
    <t>Total Geral</t>
  </si>
  <si>
    <t>CHAVE</t>
  </si>
  <si>
    <t>Conservador-Papel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</si>
</sst>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 indent="2"/>
    </xf>
    <xf numFmtId="0" fontId="0" fillId="3" borderId="10" xfId="0" applyFill="1" applyBorder="1" applyAlignment="1">
      <alignment horizontal="left" vertical="center" indent="2"/>
    </xf>
    <xf numFmtId="0" fontId="0" fillId="3" borderId="14" xfId="0" applyFill="1" applyBorder="1" applyAlignment="1">
      <alignment horizontal="left" vertical="center" indent="2"/>
    </xf>
    <xf numFmtId="0" fontId="0" fillId="3" borderId="11" xfId="0" applyFill="1" applyBorder="1" applyAlignment="1">
      <alignment horizontal="left" vertical="center" indent="2"/>
    </xf>
    <xf numFmtId="0" fontId="0" fillId="3" borderId="16" xfId="0" applyFill="1" applyBorder="1" applyAlignment="1">
      <alignment horizontal="left" vertical="center" indent="2"/>
    </xf>
    <xf numFmtId="0" fontId="0" fillId="3" borderId="17" xfId="0" applyFill="1" applyBorder="1" applyAlignment="1">
      <alignment horizontal="left" vertical="center" indent="2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left" vertical="center" indent="2"/>
    </xf>
    <xf numFmtId="0" fontId="0" fillId="4" borderId="11" xfId="0" applyFill="1" applyBorder="1" applyAlignment="1">
      <alignment horizontal="left" vertical="center" indent="2"/>
    </xf>
    <xf numFmtId="0" fontId="0" fillId="4" borderId="16" xfId="0" applyFill="1" applyBorder="1" applyAlignment="1">
      <alignment horizontal="left" vertical="center" indent="2"/>
    </xf>
    <xf numFmtId="0" fontId="0" fillId="4" borderId="17" xfId="0" applyFill="1" applyBorder="1" applyAlignment="1">
      <alignment horizontal="left" vertical="center" indent="2"/>
    </xf>
    <xf numFmtId="0" fontId="0" fillId="4" borderId="14" xfId="0" applyFill="1" applyBorder="1" applyAlignment="1">
      <alignment horizontal="left" vertical="center" indent="2"/>
    </xf>
    <xf numFmtId="0" fontId="0" fillId="4" borderId="16" xfId="0" applyFill="1" applyBorder="1" applyAlignment="1">
      <alignment horizontal="left" vertical="center" indent="2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3" fillId="0" borderId="0" xfId="0" applyFont="1"/>
    <xf numFmtId="8" fontId="0" fillId="4" borderId="11" xfId="0" applyNumberFormat="1" applyFill="1" applyBorder="1" applyAlignment="1">
      <alignment horizontal="left" vertical="center"/>
    </xf>
    <xf numFmtId="8" fontId="0" fillId="4" borderId="17" xfId="0" applyNumberFormat="1" applyFill="1" applyBorder="1" applyAlignment="1">
      <alignment horizontal="left" vertical="center"/>
    </xf>
    <xf numFmtId="8" fontId="0" fillId="4" borderId="15" xfId="0" applyNumberFormat="1" applyFill="1" applyBorder="1" applyAlignment="1">
      <alignment horizontal="left"/>
    </xf>
    <xf numFmtId="167" fontId="0" fillId="4" borderId="15" xfId="2" applyNumberFormat="1" applyFont="1" applyFill="1" applyBorder="1" applyAlignment="1">
      <alignment horizontal="left" vertical="center"/>
    </xf>
    <xf numFmtId="0" fontId="0" fillId="4" borderId="15" xfId="0" applyFont="1" applyFill="1" applyBorder="1" applyAlignment="1">
      <alignment horizontal="left" vertical="center"/>
    </xf>
    <xf numFmtId="10" fontId="0" fillId="4" borderId="15" xfId="0" applyNumberFormat="1" applyFill="1" applyBorder="1" applyAlignment="1">
      <alignment horizontal="left" vertical="center"/>
    </xf>
    <xf numFmtId="8" fontId="0" fillId="4" borderId="15" xfId="0" applyNumberFormat="1" applyFill="1" applyBorder="1" applyAlignment="1">
      <alignment horizontal="left" vertical="center"/>
    </xf>
    <xf numFmtId="167" fontId="0" fillId="4" borderId="18" xfId="0" applyNumberFormat="1" applyFill="1" applyBorder="1" applyAlignment="1">
      <alignment horizontal="left" vertical="center"/>
    </xf>
    <xf numFmtId="167" fontId="0" fillId="3" borderId="13" xfId="1" applyNumberFormat="1" applyFont="1" applyFill="1" applyBorder="1" applyAlignment="1">
      <alignment horizontal="left" vertical="center"/>
    </xf>
    <xf numFmtId="10" fontId="0" fillId="3" borderId="15" xfId="0" applyNumberFormat="1" applyFill="1" applyBorder="1" applyAlignment="1">
      <alignment horizontal="left" vertical="center"/>
    </xf>
    <xf numFmtId="9" fontId="0" fillId="3" borderId="18" xfId="0" applyNumberFormat="1" applyFill="1" applyBorder="1" applyAlignment="1">
      <alignment horizontal="left" vertical="center"/>
    </xf>
    <xf numFmtId="8" fontId="0" fillId="4" borderId="18" xfId="0" applyNumberFormat="1" applyFill="1" applyBorder="1" applyAlignment="1">
      <alignment horizontal="left"/>
    </xf>
    <xf numFmtId="0" fontId="0" fillId="6" borderId="28" xfId="0" applyFill="1" applyBorder="1"/>
    <xf numFmtId="167" fontId="0" fillId="6" borderId="29" xfId="0" applyNumberFormat="1" applyFill="1" applyBorder="1" applyAlignment="1">
      <alignment horizontal="center" vertical="center"/>
    </xf>
    <xf numFmtId="0" fontId="0" fillId="6" borderId="30" xfId="0" applyFill="1" applyBorder="1" applyAlignment="1">
      <alignment vertic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/>
    <xf numFmtId="0" fontId="5" fillId="5" borderId="3" xfId="0" applyFont="1" applyFill="1" applyBorder="1" applyAlignment="1">
      <alignment horizontal="center"/>
    </xf>
    <xf numFmtId="0" fontId="5" fillId="5" borderId="25" xfId="0" applyFont="1" applyFill="1" applyBorder="1" applyAlignment="1"/>
    <xf numFmtId="0" fontId="5" fillId="5" borderId="4" xfId="0" applyFont="1" applyFill="1" applyBorder="1" applyAlignment="1">
      <alignment horizontal="center"/>
    </xf>
    <xf numFmtId="0" fontId="2" fillId="7" borderId="7" xfId="0" applyFont="1" applyFill="1" applyBorder="1"/>
    <xf numFmtId="0" fontId="2" fillId="7" borderId="8" xfId="0" applyFont="1" applyFill="1" applyBorder="1"/>
    <xf numFmtId="167" fontId="2" fillId="7" borderId="9" xfId="0" applyNumberFormat="1" applyFont="1" applyFill="1" applyBorder="1" applyAlignment="1">
      <alignment horizontal="left"/>
    </xf>
    <xf numFmtId="0" fontId="0" fillId="4" borderId="12" xfId="0" applyFill="1" applyBorder="1"/>
    <xf numFmtId="167" fontId="0" fillId="4" borderId="13" xfId="0" applyNumberFormat="1" applyFill="1" applyBorder="1" applyAlignment="1">
      <alignment horizontal="left"/>
    </xf>
    <xf numFmtId="0" fontId="0" fillId="4" borderId="14" xfId="0" applyFill="1" applyBorder="1"/>
    <xf numFmtId="0" fontId="0" fillId="4" borderId="31" xfId="0" applyFill="1" applyBorder="1"/>
    <xf numFmtId="0" fontId="7" fillId="8" borderId="0" xfId="0" applyFont="1" applyFill="1"/>
    <xf numFmtId="0" fontId="0" fillId="0" borderId="1" xfId="0" applyBorder="1"/>
    <xf numFmtId="0" fontId="0" fillId="0" borderId="21" xfId="0" applyBorder="1"/>
    <xf numFmtId="0" fontId="0" fillId="0" borderId="32" xfId="0" applyBorder="1"/>
    <xf numFmtId="0" fontId="0" fillId="0" borderId="20" xfId="0" applyBorder="1"/>
    <xf numFmtId="0" fontId="0" fillId="9" borderId="33" xfId="0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0" fillId="4" borderId="34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9" borderId="37" xfId="0" applyFill="1" applyBorder="1" applyAlignment="1">
      <alignment horizontal="left"/>
    </xf>
    <xf numFmtId="0" fontId="0" fillId="9" borderId="40" xfId="0" applyFill="1" applyBorder="1" applyAlignment="1">
      <alignment horizontal="left"/>
    </xf>
    <xf numFmtId="0" fontId="0" fillId="0" borderId="0" xfId="2" applyNumberFormat="1" applyFont="1"/>
    <xf numFmtId="0" fontId="0" fillId="0" borderId="1" xfId="0" pivotButton="1" applyBorder="1"/>
    <xf numFmtId="9" fontId="0" fillId="9" borderId="33" xfId="2" applyFont="1" applyFill="1" applyBorder="1" applyAlignment="1">
      <alignment horizontal="left"/>
    </xf>
    <xf numFmtId="0" fontId="3" fillId="8" borderId="0" xfId="0" applyFont="1" applyFill="1"/>
    <xf numFmtId="0" fontId="0" fillId="10" borderId="0" xfId="0" applyFill="1"/>
    <xf numFmtId="0" fontId="0" fillId="4" borderId="0" xfId="0" applyNumberFormat="1" applyFill="1" applyBorder="1"/>
    <xf numFmtId="0" fontId="0" fillId="4" borderId="6" xfId="0" applyNumberFormat="1" applyFill="1" applyBorder="1"/>
    <xf numFmtId="0" fontId="0" fillId="4" borderId="2" xfId="0" applyNumberFormat="1" applyFill="1" applyBorder="1"/>
    <xf numFmtId="0" fontId="0" fillId="4" borderId="3" xfId="0" applyNumberFormat="1" applyFill="1" applyBorder="1"/>
    <xf numFmtId="0" fontId="0" fillId="4" borderId="4" xfId="0" applyNumberFormat="1" applyFill="1" applyBorder="1"/>
    <xf numFmtId="0" fontId="0" fillId="4" borderId="5" xfId="0" applyNumberFormat="1" applyFill="1" applyBorder="1"/>
    <xf numFmtId="9" fontId="0" fillId="9" borderId="35" xfId="2" applyNumberFormat="1" applyFont="1" applyFill="1" applyBorder="1" applyAlignment="1">
      <alignment horizontal="left"/>
    </xf>
    <xf numFmtId="9" fontId="0" fillId="9" borderId="36" xfId="2" applyNumberFormat="1" applyFont="1" applyFill="1" applyBorder="1" applyAlignment="1">
      <alignment horizontal="left"/>
    </xf>
    <xf numFmtId="9" fontId="0" fillId="9" borderId="38" xfId="2" applyNumberFormat="1" applyFont="1" applyFill="1" applyBorder="1" applyAlignment="1">
      <alignment horizontal="left"/>
    </xf>
    <xf numFmtId="9" fontId="0" fillId="9" borderId="39" xfId="2" applyNumberFormat="1" applyFont="1" applyFill="1" applyBorder="1" applyAlignment="1">
      <alignment horizontal="left"/>
    </xf>
    <xf numFmtId="9" fontId="0" fillId="9" borderId="41" xfId="2" applyNumberFormat="1" applyFont="1" applyFill="1" applyBorder="1" applyAlignment="1">
      <alignment horizontal="left"/>
    </xf>
    <xf numFmtId="9" fontId="0" fillId="9" borderId="42" xfId="2" applyNumberFormat="1" applyFont="1" applyFill="1" applyBorder="1" applyAlignment="1">
      <alignment horizontal="left"/>
    </xf>
    <xf numFmtId="9" fontId="0" fillId="4" borderId="10" xfId="2" applyNumberFormat="1" applyFont="1" applyFill="1" applyBorder="1" applyAlignment="1">
      <alignment horizontal="right"/>
    </xf>
    <xf numFmtId="0" fontId="0" fillId="4" borderId="8" xfId="0" applyNumberFormat="1" applyFill="1" applyBorder="1"/>
    <xf numFmtId="0" fontId="0" fillId="4" borderId="9" xfId="0" applyNumberFormat="1" applyFill="1" applyBorder="1"/>
    <xf numFmtId="0" fontId="0" fillId="4" borderId="7" xfId="0" applyNumberFormat="1" applyFill="1" applyBorder="1"/>
    <xf numFmtId="9" fontId="0" fillId="10" borderId="0" xfId="2" applyFont="1" applyFill="1"/>
  </cellXfs>
  <cellStyles count="3">
    <cellStyle name="Moeda" xfId="1" builtinId="4"/>
    <cellStyle name="Normal" xfId="0" builtinId="0"/>
    <cellStyle name="Porcentagem" xfId="2" builtinId="5"/>
  </cellStyles>
  <dxfs count="12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</a:t>
            </a:r>
            <a:r>
              <a:rPr lang="pt-BR" baseline="0"/>
              <a:t> Aplicado Por FII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Investimento_Por_FII!$B$38:$B$43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Investimento_Por_FII!$C$38:$C$43</c:f>
              <c:numCache>
                <c:formatCode>0%</c:formatCode>
                <c:ptCount val="6"/>
                <c:pt idx="0">
                  <c:v>0.6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0.03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E-4BCD-914F-0CF7B0AE6F2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Investimento_Por_FII!$B$38:$B$43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Investimento_Por_FII!$D$38:$D$43</c:f>
              <c:numCache>
                <c:formatCode>"R$"\ #,##0.00</c:formatCode>
                <c:ptCount val="6"/>
                <c:pt idx="0">
                  <c:v>468.09</c:v>
                </c:pt>
                <c:pt idx="1">
                  <c:v>156.03</c:v>
                </c:pt>
                <c:pt idx="2">
                  <c:v>78.015000000000001</c:v>
                </c:pt>
                <c:pt idx="3">
                  <c:v>39.0075</c:v>
                </c:pt>
                <c:pt idx="4">
                  <c:v>23.404499999999999</c:v>
                </c:pt>
                <c:pt idx="5">
                  <c:v>15.603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E-4BCD-914F-0CF7B0AE6F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accent4">
            <a:lumMod val="40000"/>
            <a:lumOff val="60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Desenvolvimento</c:v>
          </c:tx>
          <c:spPr>
            <a:solidFill>
              <a:schemeClr val="accent6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Agressivo</c:v>
              </c:pt>
              <c:pt idx="1">
                <c:v>Conservador</c:v>
              </c:pt>
              <c:pt idx="2">
                <c:v>Moderado</c:v>
              </c:pt>
            </c:strLit>
          </c:cat>
          <c:val>
            <c:numLit>
              <c:formatCode>General</c:formatCode>
              <c:ptCount val="3"/>
              <c:pt idx="0">
                <c:v>15</c:v>
              </c:pt>
              <c:pt idx="1">
                <c:v>3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B3E0-4E0C-BB6A-CF8EF1C761D9}"/>
            </c:ext>
          </c:extLst>
        </c:ser>
        <c:ser>
          <c:idx val="1"/>
          <c:order val="1"/>
          <c:tx>
            <c:v>FOFs</c:v>
          </c:tx>
          <c:spPr>
            <a:solidFill>
              <a:schemeClr val="accent5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Agressivo</c:v>
              </c:pt>
              <c:pt idx="1">
                <c:v>Conservador</c:v>
              </c:pt>
              <c:pt idx="2">
                <c:v>Moderado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5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1-B3E0-4E0C-BB6A-CF8EF1C761D9}"/>
            </c:ext>
          </c:extLst>
        </c:ser>
        <c:ser>
          <c:idx val="2"/>
          <c:order val="2"/>
          <c:tx>
            <c:v>Híbridos</c:v>
          </c:tx>
          <c:spPr>
            <a:solidFill>
              <a:schemeClr val="accent4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Agressivo</c:v>
              </c:pt>
              <c:pt idx="1">
                <c:v>Conservador</c:v>
              </c:pt>
              <c:pt idx="2">
                <c:v>Moderado</c:v>
              </c:pt>
            </c:strLit>
          </c:cat>
          <c:val>
            <c:numLit>
              <c:formatCode>General</c:formatCode>
              <c:ptCount val="3"/>
              <c:pt idx="0">
                <c:v>25</c:v>
              </c:pt>
              <c:pt idx="1">
                <c:v>10</c:v>
              </c:pt>
              <c:pt idx="2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2-B3E0-4E0C-BB6A-CF8EF1C761D9}"/>
            </c:ext>
          </c:extLst>
        </c:ser>
        <c:ser>
          <c:idx val="3"/>
          <c:order val="3"/>
          <c:tx>
            <c:v>Hotelarias</c:v>
          </c:tx>
          <c:spPr>
            <a:solidFill>
              <a:schemeClr val="accent3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Agressivo</c:v>
              </c:pt>
              <c:pt idx="1">
                <c:v>Conservador</c:v>
              </c:pt>
              <c:pt idx="2">
                <c:v>Moderado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B3E0-4E0C-BB6A-CF8EF1C761D9}"/>
            </c:ext>
          </c:extLst>
        </c:ser>
        <c:ser>
          <c:idx val="4"/>
          <c:order val="4"/>
          <c:tx>
            <c:v>Papel</c:v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Agressivo</c:v>
              </c:pt>
              <c:pt idx="1">
                <c:v>Conservador</c:v>
              </c:pt>
              <c:pt idx="2">
                <c:v>Moderado</c:v>
              </c:pt>
            </c:strLit>
          </c:cat>
          <c:val>
            <c:numLit>
              <c:formatCode>General</c:formatCode>
              <c:ptCount val="3"/>
              <c:pt idx="0">
                <c:v>15</c:v>
              </c:pt>
              <c:pt idx="1">
                <c:v>60</c:v>
              </c:pt>
              <c:pt idx="2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4-B3E0-4E0C-BB6A-CF8EF1C761D9}"/>
            </c:ext>
          </c:extLst>
        </c:ser>
        <c:ser>
          <c:idx val="5"/>
          <c:order val="5"/>
          <c:tx>
            <c:v>Tijolo</c:v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Agressivo</c:v>
              </c:pt>
              <c:pt idx="1">
                <c:v>Conservador</c:v>
              </c:pt>
              <c:pt idx="2">
                <c:v>Moderado</c:v>
              </c:pt>
            </c:strLit>
          </c:cat>
          <c:val>
            <c:numLit>
              <c:formatCode>General</c:formatCode>
              <c:ptCount val="3"/>
              <c:pt idx="0">
                <c:v>30</c:v>
              </c:pt>
              <c:pt idx="1">
                <c:v>20</c:v>
              </c:pt>
              <c:pt idx="2">
                <c:v>30</c:v>
              </c:pt>
            </c:numLit>
          </c:val>
          <c:extLst>
            <c:ext xmlns:c16="http://schemas.microsoft.com/office/drawing/2014/chart" uri="{C3380CC4-5D6E-409C-BE32-E72D297353CC}">
              <c16:uniqueId val="{00000005-B3E0-4E0C-BB6A-CF8EF1C76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8708400"/>
        <c:axId val="868709840"/>
      </c:barChart>
      <c:catAx>
        <c:axId val="8687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709840"/>
        <c:crosses val="autoZero"/>
        <c:auto val="1"/>
        <c:lblAlgn val="ctr"/>
        <c:lblOffset val="100"/>
        <c:noMultiLvlLbl val="0"/>
      </c:catAx>
      <c:valAx>
        <c:axId val="868709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870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Perfil_Investidor!$B$25</c:f>
              <c:strCache>
                <c:ptCount val="1"/>
                <c:pt idx="0">
                  <c:v>Desenvolvimento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DC9803E-4FF3-4F3E-AFEC-F20185DE0734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616-4606-A01C-BF556576D0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Perfil_Investidor!$C$24:$E$24</c:f>
              <c:strCache>
                <c:ptCount val="3"/>
                <c:pt idx="0">
                  <c:v>Agressivo</c:v>
                </c:pt>
                <c:pt idx="1">
                  <c:v>Conservador</c:v>
                </c:pt>
                <c:pt idx="2">
                  <c:v>Moderado</c:v>
                </c:pt>
              </c:strCache>
            </c:strRef>
          </c:cat>
          <c:val>
            <c:numRef>
              <c:f>Perfil_Investidor!$C$25:$E$25</c:f>
              <c:numCache>
                <c:formatCode>0%</c:formatCode>
                <c:ptCount val="3"/>
                <c:pt idx="0">
                  <c:v>0.15</c:v>
                </c:pt>
                <c:pt idx="1">
                  <c:v>0.03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6-4606-A01C-BF556576D01E}"/>
            </c:ext>
          </c:extLst>
        </c:ser>
        <c:ser>
          <c:idx val="1"/>
          <c:order val="1"/>
          <c:tx>
            <c:strRef>
              <c:f>Perfil_Investidor!$B$26</c:f>
              <c:strCache>
                <c:ptCount val="1"/>
                <c:pt idx="0">
                  <c:v>FOFs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Perfil_Investidor!$C$24:$E$24</c:f>
              <c:strCache>
                <c:ptCount val="3"/>
                <c:pt idx="0">
                  <c:v>Agressivo</c:v>
                </c:pt>
                <c:pt idx="1">
                  <c:v>Conservador</c:v>
                </c:pt>
                <c:pt idx="2">
                  <c:v>Moderado</c:v>
                </c:pt>
              </c:strCache>
            </c:strRef>
          </c:cat>
          <c:val>
            <c:numRef>
              <c:f>Perfil_Investidor!$C$26:$E$26</c:f>
              <c:numCache>
                <c:formatCode>0%</c:formatCode>
                <c:ptCount val="3"/>
                <c:pt idx="0">
                  <c:v>0.1</c:v>
                </c:pt>
                <c:pt idx="1">
                  <c:v>0.05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6-4606-A01C-BF556576D01E}"/>
            </c:ext>
          </c:extLst>
        </c:ser>
        <c:ser>
          <c:idx val="2"/>
          <c:order val="2"/>
          <c:tx>
            <c:strRef>
              <c:f>Perfil_Investidor!$B$27</c:f>
              <c:strCache>
                <c:ptCount val="1"/>
                <c:pt idx="0">
                  <c:v>Hotelarias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Perfil_Investidor!$C$24:$E$24</c:f>
              <c:strCache>
                <c:ptCount val="3"/>
                <c:pt idx="0">
                  <c:v>Agressivo</c:v>
                </c:pt>
                <c:pt idx="1">
                  <c:v>Conservador</c:v>
                </c:pt>
                <c:pt idx="2">
                  <c:v>Moderado</c:v>
                </c:pt>
              </c:strCache>
            </c:strRef>
          </c:cat>
          <c:val>
            <c:numRef>
              <c:f>Perfil_Investidor!$C$27:$E$27</c:f>
              <c:numCache>
                <c:formatCode>0%</c:formatCode>
                <c:ptCount val="3"/>
                <c:pt idx="0">
                  <c:v>0.05</c:v>
                </c:pt>
                <c:pt idx="1">
                  <c:v>0.02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16-4606-A01C-BF556576D01E}"/>
            </c:ext>
          </c:extLst>
        </c:ser>
        <c:ser>
          <c:idx val="3"/>
          <c:order val="3"/>
          <c:tx>
            <c:strRef>
              <c:f>Perfil_Investidor!$B$28</c:f>
              <c:strCache>
                <c:ptCount val="1"/>
                <c:pt idx="0">
                  <c:v>Híbridos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Perfil_Investidor!$C$24:$E$24</c:f>
              <c:strCache>
                <c:ptCount val="3"/>
                <c:pt idx="0">
                  <c:v>Agressivo</c:v>
                </c:pt>
                <c:pt idx="1">
                  <c:v>Conservador</c:v>
                </c:pt>
                <c:pt idx="2">
                  <c:v>Moderado</c:v>
                </c:pt>
              </c:strCache>
            </c:strRef>
          </c:cat>
          <c:val>
            <c:numRef>
              <c:f>Perfil_Investidor!$C$28:$E$28</c:f>
              <c:numCache>
                <c:formatCode>0%</c:formatCode>
                <c:ptCount val="3"/>
                <c:pt idx="0">
                  <c:v>0.25</c:v>
                </c:pt>
                <c:pt idx="1">
                  <c:v>0.1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16-4606-A01C-BF556576D01E}"/>
            </c:ext>
          </c:extLst>
        </c:ser>
        <c:ser>
          <c:idx val="4"/>
          <c:order val="4"/>
          <c:tx>
            <c:strRef>
              <c:f>Perfil_Investidor!$B$29</c:f>
              <c:strCache>
                <c:ptCount val="1"/>
                <c:pt idx="0">
                  <c:v>Papel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Perfil_Investidor!$C$24:$E$24</c:f>
              <c:strCache>
                <c:ptCount val="3"/>
                <c:pt idx="0">
                  <c:v>Agressivo</c:v>
                </c:pt>
                <c:pt idx="1">
                  <c:v>Conservador</c:v>
                </c:pt>
                <c:pt idx="2">
                  <c:v>Moderado</c:v>
                </c:pt>
              </c:strCache>
            </c:strRef>
          </c:cat>
          <c:val>
            <c:numRef>
              <c:f>Perfil_Investidor!$C$29:$E$29</c:f>
              <c:numCache>
                <c:formatCode>0%</c:formatCode>
                <c:ptCount val="3"/>
                <c:pt idx="0">
                  <c:v>0.15</c:v>
                </c:pt>
                <c:pt idx="1">
                  <c:v>0.6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16-4606-A01C-BF556576D01E}"/>
            </c:ext>
          </c:extLst>
        </c:ser>
        <c:ser>
          <c:idx val="5"/>
          <c:order val="5"/>
          <c:tx>
            <c:strRef>
              <c:f>Perfil_Investidor!$B$30</c:f>
              <c:strCache>
                <c:ptCount val="1"/>
                <c:pt idx="0">
                  <c:v>Tijolo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Perfil_Investidor!$C$24:$E$24</c:f>
              <c:strCache>
                <c:ptCount val="3"/>
                <c:pt idx="0">
                  <c:v>Agressivo</c:v>
                </c:pt>
                <c:pt idx="1">
                  <c:v>Conservador</c:v>
                </c:pt>
                <c:pt idx="2">
                  <c:v>Moderado</c:v>
                </c:pt>
              </c:strCache>
            </c:strRef>
          </c:cat>
          <c:val>
            <c:numRef>
              <c:f>Perfil_Investidor!$C$30:$E$30</c:f>
              <c:numCache>
                <c:formatCode>0%</c:formatCode>
                <c:ptCount val="3"/>
                <c:pt idx="0">
                  <c:v>0.03</c:v>
                </c:pt>
                <c:pt idx="1">
                  <c:v>0.2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16-4606-A01C-BF556576D0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8660400"/>
        <c:axId val="868654640"/>
      </c:barChart>
      <c:catAx>
        <c:axId val="86866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654640"/>
        <c:crosses val="autoZero"/>
        <c:auto val="1"/>
        <c:lblAlgn val="ctr"/>
        <c:lblOffset val="100"/>
        <c:noMultiLvlLbl val="0"/>
      </c:catAx>
      <c:valAx>
        <c:axId val="86865464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86866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184149</xdr:rowOff>
    </xdr:from>
    <xdr:to>
      <xdr:col>4</xdr:col>
      <xdr:colOff>19050</xdr:colOff>
      <xdr:row>11</xdr:row>
      <xdr:rowOff>2771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043BF8-0E9C-1DAB-537A-E198DEF68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74"/>
        <a:stretch>
          <a:fillRect/>
        </a:stretch>
      </xdr:blipFill>
      <xdr:spPr>
        <a:xfrm>
          <a:off x="209550" y="184149"/>
          <a:ext cx="5137150" cy="1812522"/>
        </a:xfrm>
        <a:prstGeom prst="rect">
          <a:avLst/>
        </a:prstGeom>
      </xdr:spPr>
    </xdr:pic>
    <xdr:clientData/>
  </xdr:twoCellAnchor>
  <xdr:twoCellAnchor>
    <xdr:from>
      <xdr:col>0</xdr:col>
      <xdr:colOff>193674</xdr:colOff>
      <xdr:row>45</xdr:row>
      <xdr:rowOff>0</xdr:rowOff>
    </xdr:from>
    <xdr:to>
      <xdr:col>3</xdr:col>
      <xdr:colOff>1784349</xdr:colOff>
      <xdr:row>58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738EC9-79CB-F809-A22A-6FE5E1C99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7</xdr:row>
      <xdr:rowOff>12700</xdr:rowOff>
    </xdr:from>
    <xdr:to>
      <xdr:col>13</xdr:col>
      <xdr:colOff>12700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F2EBD2-8C0F-4144-9DD8-29025C009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215900</xdr:colOff>
      <xdr:row>31</xdr:row>
      <xdr:rowOff>25400</xdr:rowOff>
    </xdr:from>
    <xdr:to>
      <xdr:col>8</xdr:col>
      <xdr:colOff>1339850</xdr:colOff>
      <xdr:row>46</xdr:row>
      <xdr:rowOff>6350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661546-FC78-4254-AB13-BF744BB64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Alocacoes_FII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el" refreshedDate="46061.908861574077" createdVersion="8" refreshedVersion="8" minRefreshableVersion="3" recordCount="18" xr:uid="{8F11FFC2-B793-4538-A863-65ACC24F6A09}">
  <cacheSource type="worksheet">
    <worksheetSource ref="B2:D20" sheet="Alocacoes" r:id="rId2"/>
  </cacheSource>
  <cacheFields count="3">
    <cacheField name="Perfil" numFmtId="0">
      <sharedItems count="3">
        <s v="Conservador"/>
        <s v="Moderado"/>
        <s v="Agressivo"/>
      </sharedItems>
    </cacheField>
    <cacheField name="Tipo FII" numFmtId="0">
      <sharedItems count="6">
        <s v="Papel"/>
        <s v="Tijolo"/>
        <s v="Híbridos"/>
        <s v="FOFs"/>
        <s v="Desenvolvimento"/>
        <s v="Hotelarias"/>
      </sharedItems>
    </cacheField>
    <cacheField name="Percentual" numFmtId="0">
      <sharedItems containsSemiMixedTypes="0" containsString="0" containsNumber="1" containsInteger="1" minValue="2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60"/>
  </r>
  <r>
    <x v="0"/>
    <x v="1"/>
    <n v="20"/>
  </r>
  <r>
    <x v="0"/>
    <x v="2"/>
    <n v="10"/>
  </r>
  <r>
    <x v="0"/>
    <x v="3"/>
    <n v="5"/>
  </r>
  <r>
    <x v="0"/>
    <x v="4"/>
    <n v="3"/>
  </r>
  <r>
    <x v="0"/>
    <x v="5"/>
    <n v="2"/>
  </r>
  <r>
    <x v="1"/>
    <x v="0"/>
    <n v="35"/>
  </r>
  <r>
    <x v="1"/>
    <x v="1"/>
    <n v="30"/>
  </r>
  <r>
    <x v="1"/>
    <x v="2"/>
    <n v="20"/>
  </r>
  <r>
    <x v="1"/>
    <x v="3"/>
    <n v="10"/>
  </r>
  <r>
    <x v="1"/>
    <x v="4"/>
    <n v="3"/>
  </r>
  <r>
    <x v="1"/>
    <x v="5"/>
    <n v="2"/>
  </r>
  <r>
    <x v="2"/>
    <x v="0"/>
    <n v="15"/>
  </r>
  <r>
    <x v="2"/>
    <x v="1"/>
    <n v="30"/>
  </r>
  <r>
    <x v="2"/>
    <x v="2"/>
    <n v="25"/>
  </r>
  <r>
    <x v="2"/>
    <x v="3"/>
    <n v="10"/>
  </r>
  <r>
    <x v="2"/>
    <x v="4"/>
    <n v="15"/>
  </r>
  <r>
    <x v="2"/>
    <x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D645-2261-466E-974A-45AE67AC2103}" name="Tabela dinâmica6" cacheId="8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3">
  <location ref="F2:M6" firstHeaderRow="1" firstDataRow="2" firstDataCol="1"/>
  <pivotFields count="3">
    <pivotField axis="axisRow" showAll="0">
      <items count="4">
        <item x="2"/>
        <item x="0"/>
        <item x="1"/>
        <item t="default"/>
      </items>
    </pivotField>
    <pivotField axis="axisCol" showAll="0">
      <items count="7">
        <item x="4"/>
        <item x="3"/>
        <item x="2"/>
        <item x="5"/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Percentual" fld="2" baseField="0" baseItem="0"/>
  </dataFields>
  <formats count="12">
    <format dxfId="0">
      <pivotArea collapsedLevelsAreSubtotals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0" count="0"/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type="origin" dataOnly="0" labelOnly="1" outline="0" fieldPosition="0"/>
    </format>
    <format dxfId="5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1" count="0"/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664A-29F2-45FD-8365-3FC7BCA6AD07}">
  <dimension ref="A10:G44"/>
  <sheetViews>
    <sheetView showGridLines="0" showRowColHeaders="0" tabSelected="1" topLeftCell="A31" workbookViewId="0">
      <selection activeCell="C34" sqref="C34"/>
    </sheetView>
  </sheetViews>
  <sheetFormatPr defaultColWidth="0" defaultRowHeight="14.5" x14ac:dyDescent="0.35"/>
  <cols>
    <col min="1" max="1" width="2.81640625" bestFit="1" customWidth="1"/>
    <col min="2" max="2" width="28.6328125" bestFit="1" customWidth="1"/>
    <col min="3" max="3" width="19.26953125" bestFit="1" customWidth="1"/>
    <col min="4" max="4" width="25.54296875" bestFit="1" customWidth="1"/>
    <col min="5" max="5" width="8.7265625" customWidth="1"/>
    <col min="6" max="6" width="8.7265625" hidden="1"/>
    <col min="7" max="7" width="10.7265625" hidden="1"/>
    <col min="8" max="16384" width="8.7265625" hidden="1"/>
  </cols>
  <sheetData>
    <row r="10" spans="2:4" ht="12" customHeight="1" x14ac:dyDescent="0.35"/>
    <row r="12" spans="2:4" ht="15" thickBot="1" x14ac:dyDescent="0.4"/>
    <row r="13" spans="2:4" ht="21" x14ac:dyDescent="0.35">
      <c r="B13" s="3" t="s">
        <v>0</v>
      </c>
      <c r="C13" s="4"/>
      <c r="D13" s="5"/>
    </row>
    <row r="14" spans="2:4" x14ac:dyDescent="0.35">
      <c r="B14" s="6" t="s">
        <v>23</v>
      </c>
      <c r="C14" s="7"/>
      <c r="D14" s="32">
        <v>5200</v>
      </c>
    </row>
    <row r="15" spans="2:4" x14ac:dyDescent="0.35">
      <c r="B15" s="8" t="s">
        <v>1</v>
      </c>
      <c r="C15" s="9"/>
      <c r="D15" s="33">
        <v>0.01</v>
      </c>
    </row>
    <row r="16" spans="2:4" ht="15" thickBot="1" x14ac:dyDescent="0.4">
      <c r="B16" s="10" t="s">
        <v>2</v>
      </c>
      <c r="C16" s="11"/>
      <c r="D16" s="34">
        <v>0.15</v>
      </c>
    </row>
    <row r="17" spans="1:4" ht="15" thickBot="1" x14ac:dyDescent="0.4"/>
    <row r="18" spans="1:4" ht="21" x14ac:dyDescent="0.35">
      <c r="B18" s="12" t="s">
        <v>3</v>
      </c>
      <c r="C18" s="13"/>
      <c r="D18" s="14"/>
    </row>
    <row r="19" spans="1:4" x14ac:dyDescent="0.35">
      <c r="B19" s="15" t="s">
        <v>4</v>
      </c>
      <c r="C19" s="16"/>
      <c r="D19" s="27">
        <f>D16 * (1 + D14)</f>
        <v>780.15</v>
      </c>
    </row>
    <row r="20" spans="1:4" ht="15" customHeight="1" x14ac:dyDescent="0.35">
      <c r="B20" s="15" t="s">
        <v>5</v>
      </c>
      <c r="C20" s="16"/>
      <c r="D20" s="28">
        <v>30</v>
      </c>
    </row>
    <row r="21" spans="1:4" x14ac:dyDescent="0.35">
      <c r="B21" s="15" t="s">
        <v>6</v>
      </c>
      <c r="C21" s="16"/>
      <c r="D21" s="29">
        <f>$D$15</f>
        <v>0.01</v>
      </c>
    </row>
    <row r="22" spans="1:4" x14ac:dyDescent="0.35">
      <c r="B22" s="15" t="s">
        <v>7</v>
      </c>
      <c r="C22" s="16"/>
      <c r="D22" s="30">
        <f>FV(Rendimento_mensal,Quantos_anos*12,Investir_mes*-1)</f>
        <v>2726596.2681793501</v>
      </c>
    </row>
    <row r="23" spans="1:4" ht="15" thickBot="1" x14ac:dyDescent="0.4">
      <c r="B23" s="17" t="s">
        <v>8</v>
      </c>
      <c r="C23" s="18"/>
      <c r="D23" s="31">
        <f>Patrimonio_acumulado*Rend_carteira</f>
        <v>27265.962681793502</v>
      </c>
    </row>
    <row r="24" spans="1:4" ht="15" thickBot="1" x14ac:dyDescent="0.4"/>
    <row r="25" spans="1:4" ht="21" x14ac:dyDescent="0.35">
      <c r="B25" s="21" t="s">
        <v>9</v>
      </c>
      <c r="C25" s="22"/>
      <c r="D25" s="42" t="s">
        <v>22</v>
      </c>
    </row>
    <row r="26" spans="1:4" x14ac:dyDescent="0.35">
      <c r="A26" s="23">
        <v>2</v>
      </c>
      <c r="B26" s="19" t="s">
        <v>10</v>
      </c>
      <c r="C26" s="24">
        <f>FV(Rendimento_mensal,$A26*12,Investir_mes*-1)</f>
        <v>21043.348605217347</v>
      </c>
      <c r="D26" s="26">
        <f>$C26*Rendimento_mensal</f>
        <v>210.43348605217346</v>
      </c>
    </row>
    <row r="27" spans="1:4" x14ac:dyDescent="0.35">
      <c r="A27" s="23">
        <v>5</v>
      </c>
      <c r="B27" s="19" t="s">
        <v>12</v>
      </c>
      <c r="C27" s="24">
        <f>FV(Rendimento_mensal,$A27*12,Investir_mes*-1)</f>
        <v>63714.592938477581</v>
      </c>
      <c r="D27" s="26">
        <f>$C27*Rendimento_mensal</f>
        <v>637.14592938477585</v>
      </c>
    </row>
    <row r="28" spans="1:4" x14ac:dyDescent="0.35">
      <c r="A28" s="23">
        <v>10</v>
      </c>
      <c r="B28" s="19" t="s">
        <v>11</v>
      </c>
      <c r="C28" s="24">
        <f>FV(Rendimento_mensal,$A28*12,Investir_mes*-1)</f>
        <v>179464.68358016486</v>
      </c>
      <c r="D28" s="26">
        <f>$C28*Rendimento_mensal</f>
        <v>1794.6468358016486</v>
      </c>
    </row>
    <row r="29" spans="1:4" x14ac:dyDescent="0.35">
      <c r="A29" s="23">
        <v>15</v>
      </c>
      <c r="B29" s="19" t="s">
        <v>13</v>
      </c>
      <c r="C29" s="24">
        <f>FV(Rendimento_mensal,$A29*12,Investir_mes*-1)</f>
        <v>389747.49110741232</v>
      </c>
      <c r="D29" s="26">
        <f>$C29*Rendimento_mensal</f>
        <v>3897.4749110741232</v>
      </c>
    </row>
    <row r="30" spans="1:4" x14ac:dyDescent="0.35">
      <c r="A30" s="23">
        <v>20</v>
      </c>
      <c r="B30" s="19" t="s">
        <v>14</v>
      </c>
      <c r="C30" s="24">
        <f>FV(Rendimento_mensal,$A30*12,Investir_mes*-1)</f>
        <v>771767.57330695121</v>
      </c>
      <c r="D30" s="26">
        <f>$C30*Rendimento_mensal</f>
        <v>7717.6757330695118</v>
      </c>
    </row>
    <row r="31" spans="1:4" x14ac:dyDescent="0.35">
      <c r="A31" s="23">
        <v>25</v>
      </c>
      <c r="B31" s="19" t="s">
        <v>15</v>
      </c>
      <c r="C31" s="24">
        <f>FV(Rendimento_mensal,$A31*12,Investir_mes*-1)</f>
        <v>1465782.1954240364</v>
      </c>
      <c r="D31" s="26">
        <f>$C31*Rendimento_mensal</f>
        <v>14657.821954240364</v>
      </c>
    </row>
    <row r="32" spans="1:4" ht="15" thickBot="1" x14ac:dyDescent="0.4">
      <c r="A32" s="23">
        <v>30</v>
      </c>
      <c r="B32" s="20" t="s">
        <v>16</v>
      </c>
      <c r="C32" s="25">
        <f>FV(Rendimento_mensal,$A32*12,Investir_mes*-1)</f>
        <v>2726596.2681793501</v>
      </c>
      <c r="D32" s="35">
        <f>$C32*Rendimento_mensal</f>
        <v>27265.962681793502</v>
      </c>
    </row>
    <row r="33" spans="2:4" ht="15" thickBot="1" x14ac:dyDescent="0.4">
      <c r="C33" s="1"/>
      <c r="D33" s="1"/>
    </row>
    <row r="34" spans="2:4" ht="21" x14ac:dyDescent="0.5">
      <c r="B34" s="39" t="s">
        <v>17</v>
      </c>
      <c r="C34" s="41" t="s">
        <v>33</v>
      </c>
      <c r="D34" s="40"/>
    </row>
    <row r="35" spans="2:4" ht="15" thickBot="1" x14ac:dyDescent="0.4">
      <c r="B35" s="36" t="s">
        <v>18</v>
      </c>
      <c r="C35" s="37">
        <f>Investir_mes</f>
        <v>780.15</v>
      </c>
      <c r="D35" s="38"/>
    </row>
    <row r="36" spans="2:4" ht="15" thickBot="1" x14ac:dyDescent="0.4"/>
    <row r="37" spans="2:4" ht="21" x14ac:dyDescent="0.5">
      <c r="B37" s="39" t="s">
        <v>19</v>
      </c>
      <c r="C37" s="41" t="s">
        <v>24</v>
      </c>
      <c r="D37" s="43" t="s">
        <v>20</v>
      </c>
    </row>
    <row r="38" spans="2:4" x14ac:dyDescent="0.35">
      <c r="B38" s="47" t="s">
        <v>25</v>
      </c>
      <c r="C38" s="79">
        <f>VLOOKUP($C$34&amp;"-"&amp;B38,Perfil_Investidor!$B:$E,4,FALSE)</f>
        <v>0.6</v>
      </c>
      <c r="D38" s="48">
        <f>$C$35 * C38</f>
        <v>468.09</v>
      </c>
    </row>
    <row r="39" spans="2:4" x14ac:dyDescent="0.35">
      <c r="B39" s="49" t="s">
        <v>26</v>
      </c>
      <c r="C39" s="79">
        <f>VLOOKUP($C$34&amp;"-"&amp;B39,Perfil_Investidor!$B:$E,4,FALSE)</f>
        <v>0.2</v>
      </c>
      <c r="D39" s="48">
        <f t="shared" ref="D39:D43" si="0">$C$35 * C39</f>
        <v>156.03</v>
      </c>
    </row>
    <row r="40" spans="2:4" x14ac:dyDescent="0.35">
      <c r="B40" s="49" t="s">
        <v>27</v>
      </c>
      <c r="C40" s="79">
        <f>VLOOKUP($C$34&amp;"-"&amp;B40,Perfil_Investidor!$B:$E,4,FALSE)</f>
        <v>0.1</v>
      </c>
      <c r="D40" s="48">
        <f t="shared" si="0"/>
        <v>78.015000000000001</v>
      </c>
    </row>
    <row r="41" spans="2:4" x14ac:dyDescent="0.35">
      <c r="B41" s="49" t="s">
        <v>28</v>
      </c>
      <c r="C41" s="79">
        <f>VLOOKUP($C$34&amp;"-"&amp;B41,Perfil_Investidor!$B:$E,4,FALSE)</f>
        <v>0.05</v>
      </c>
      <c r="D41" s="48">
        <f t="shared" si="0"/>
        <v>39.0075</v>
      </c>
    </row>
    <row r="42" spans="2:4" x14ac:dyDescent="0.35">
      <c r="B42" s="49" t="s">
        <v>29</v>
      </c>
      <c r="C42" s="79">
        <f>VLOOKUP($C$34&amp;"-"&amp;B42,Perfil_Investidor!$B:$E,4,FALSE)</f>
        <v>0.03</v>
      </c>
      <c r="D42" s="48">
        <f t="shared" si="0"/>
        <v>23.404499999999999</v>
      </c>
    </row>
    <row r="43" spans="2:4" x14ac:dyDescent="0.35">
      <c r="B43" s="50" t="s">
        <v>30</v>
      </c>
      <c r="C43" s="79">
        <f>VLOOKUP($C$34&amp;"-"&amp;B43,Perfil_Investidor!$B:$E,4,FALSE)</f>
        <v>0.02</v>
      </c>
      <c r="D43" s="48">
        <f t="shared" si="0"/>
        <v>15.603</v>
      </c>
    </row>
    <row r="44" spans="2:4" ht="15" thickBot="1" x14ac:dyDescent="0.4">
      <c r="B44" s="44" t="s">
        <v>31</v>
      </c>
      <c r="C44" s="45"/>
      <c r="D44" s="46">
        <f>SUM(D38:D43)</f>
        <v>780.15</v>
      </c>
    </row>
  </sheetData>
  <mergeCells count="11">
    <mergeCell ref="B19:C19"/>
    <mergeCell ref="B20:C20"/>
    <mergeCell ref="B21:C21"/>
    <mergeCell ref="B22:C22"/>
    <mergeCell ref="B23:C23"/>
    <mergeCell ref="B13:D13"/>
    <mergeCell ref="B18:D18"/>
    <mergeCell ref="B25:C25"/>
    <mergeCell ref="B14:C14"/>
    <mergeCell ref="B15:C15"/>
    <mergeCell ref="B16:C16"/>
  </mergeCells>
  <dataValidations xWindow="491" yWindow="739" count="2">
    <dataValidation type="list" allowBlank="1" showInputMessage="1" showErrorMessage="1" sqref="D20" xr:uid="{742072BA-BDA9-4288-BFE5-43AA70A68A23}">
      <formula1>"2, 5, 10, 15, 20, 25, 30"</formula1>
    </dataValidation>
    <dataValidation type="list" allowBlank="1" showInputMessage="1" showErrorMessage="1" prompt="Altere conforme seu perfil de invetidor." sqref="C34" xr:uid="{81CEA163-9319-4BD1-BA33-30D41A72FA02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E1B8-7568-489B-A12F-53CD0B4985E6}">
  <dimension ref="A1:M37"/>
  <sheetViews>
    <sheetView showGridLines="0" showRowColHeaders="0" zoomScaleNormal="100" workbookViewId="0">
      <selection activeCell="N1" sqref="N1:XFD1048576"/>
    </sheetView>
  </sheetViews>
  <sheetFormatPr defaultColWidth="0" defaultRowHeight="14.5" x14ac:dyDescent="0.35"/>
  <cols>
    <col min="1" max="1" width="3.36328125" customWidth="1"/>
    <col min="2" max="2" width="26.90625" bestFit="1" customWidth="1"/>
    <col min="3" max="4" width="15.36328125" bestFit="1" customWidth="1"/>
    <col min="5" max="5" width="12.453125" bestFit="1" customWidth="1"/>
    <col min="6" max="6" width="17.6328125" bestFit="1" customWidth="1"/>
    <col min="7" max="7" width="18.36328125" bestFit="1" customWidth="1"/>
    <col min="8" max="8" width="4.81640625" bestFit="1" customWidth="1"/>
    <col min="9" max="9" width="7.81640625" bestFit="1" customWidth="1"/>
    <col min="10" max="10" width="9.36328125" bestFit="1" customWidth="1"/>
    <col min="11" max="12" width="5.453125" bestFit="1" customWidth="1"/>
    <col min="13" max="13" width="10" customWidth="1"/>
    <col min="14" max="16384" width="8.7265625" hidden="1"/>
  </cols>
  <sheetData>
    <row r="1" spans="2:13" ht="15" thickBot="1" x14ac:dyDescent="0.4"/>
    <row r="2" spans="2:13" ht="16" thickBot="1" x14ac:dyDescent="0.4">
      <c r="B2" s="65" t="s">
        <v>46</v>
      </c>
      <c r="C2" s="51" t="s">
        <v>34</v>
      </c>
      <c r="D2" s="51" t="s">
        <v>35</v>
      </c>
      <c r="E2" s="51" t="s">
        <v>36</v>
      </c>
      <c r="F2" s="63" t="s">
        <v>37</v>
      </c>
      <c r="G2" s="63" t="s">
        <v>38</v>
      </c>
      <c r="H2" s="53"/>
      <c r="I2" s="54"/>
      <c r="J2" s="54"/>
      <c r="K2" s="54"/>
      <c r="L2" s="54"/>
      <c r="M2" s="55"/>
    </row>
    <row r="3" spans="2:13" ht="15" thickBot="1" x14ac:dyDescent="0.4">
      <c r="B3" s="56" t="str">
        <f>C3&amp;"-"&amp;D3</f>
        <v>Conservador-Papel</v>
      </c>
      <c r="C3" s="56" t="s">
        <v>33</v>
      </c>
      <c r="D3" s="56" t="s">
        <v>39</v>
      </c>
      <c r="E3" s="64">
        <v>0.6</v>
      </c>
      <c r="F3" s="63" t="s">
        <v>40</v>
      </c>
      <c r="G3" s="53" t="s">
        <v>41</v>
      </c>
      <c r="H3" s="54" t="s">
        <v>28</v>
      </c>
      <c r="I3" s="54" t="s">
        <v>42</v>
      </c>
      <c r="J3" s="54" t="s">
        <v>43</v>
      </c>
      <c r="K3" s="54" t="s">
        <v>39</v>
      </c>
      <c r="L3" s="55" t="s">
        <v>44</v>
      </c>
      <c r="M3" s="52" t="s">
        <v>45</v>
      </c>
    </row>
    <row r="4" spans="2:13" x14ac:dyDescent="0.35">
      <c r="B4" s="56" t="str">
        <f t="shared" ref="B4:B20" si="0">C4&amp;"-"&amp;D4</f>
        <v>Conservador-Tijolo</v>
      </c>
      <c r="C4" s="56" t="s">
        <v>33</v>
      </c>
      <c r="D4" s="56" t="s">
        <v>44</v>
      </c>
      <c r="E4" s="64">
        <v>0.2</v>
      </c>
      <c r="F4" s="57" t="s">
        <v>32</v>
      </c>
      <c r="G4" s="69">
        <v>15</v>
      </c>
      <c r="H4" s="70">
        <v>10</v>
      </c>
      <c r="I4" s="70">
        <v>25</v>
      </c>
      <c r="J4" s="70">
        <v>5</v>
      </c>
      <c r="K4" s="70">
        <v>15</v>
      </c>
      <c r="L4" s="70">
        <v>30</v>
      </c>
      <c r="M4" s="71">
        <v>100</v>
      </c>
    </row>
    <row r="5" spans="2:13" x14ac:dyDescent="0.35">
      <c r="B5" s="56" t="str">
        <f t="shared" si="0"/>
        <v>Conservador-Híbridos</v>
      </c>
      <c r="C5" s="56" t="s">
        <v>33</v>
      </c>
      <c r="D5" s="56" t="s">
        <v>42</v>
      </c>
      <c r="E5" s="64">
        <v>0.1</v>
      </c>
      <c r="F5" s="58" t="s">
        <v>33</v>
      </c>
      <c r="G5" s="72">
        <v>3</v>
      </c>
      <c r="H5" s="67">
        <v>5</v>
      </c>
      <c r="I5" s="67">
        <v>10</v>
      </c>
      <c r="J5" s="67">
        <v>2</v>
      </c>
      <c r="K5" s="67">
        <v>60</v>
      </c>
      <c r="L5" s="67">
        <v>20</v>
      </c>
      <c r="M5" s="68">
        <v>100</v>
      </c>
    </row>
    <row r="6" spans="2:13" ht="15" thickBot="1" x14ac:dyDescent="0.4">
      <c r="B6" s="56" t="str">
        <f t="shared" si="0"/>
        <v>Conservador-FOFs</v>
      </c>
      <c r="C6" s="56" t="s">
        <v>33</v>
      </c>
      <c r="D6" s="56" t="s">
        <v>28</v>
      </c>
      <c r="E6" s="64">
        <v>0.05</v>
      </c>
      <c r="F6" s="59" t="s">
        <v>21</v>
      </c>
      <c r="G6" s="82">
        <v>3</v>
      </c>
      <c r="H6" s="80">
        <v>10</v>
      </c>
      <c r="I6" s="80">
        <v>20</v>
      </c>
      <c r="J6" s="80">
        <v>2</v>
      </c>
      <c r="K6" s="80">
        <v>35</v>
      </c>
      <c r="L6" s="80">
        <v>30</v>
      </c>
      <c r="M6" s="81">
        <v>100</v>
      </c>
    </row>
    <row r="7" spans="2:13" x14ac:dyDescent="0.35">
      <c r="B7" s="56" t="str">
        <f t="shared" si="0"/>
        <v>Conservador-Desenvolvimento</v>
      </c>
      <c r="C7" s="56" t="s">
        <v>33</v>
      </c>
      <c r="D7" s="56" t="s">
        <v>41</v>
      </c>
      <c r="E7" s="64">
        <v>0.03</v>
      </c>
    </row>
    <row r="8" spans="2:13" x14ac:dyDescent="0.35">
      <c r="B8" s="56" t="str">
        <f t="shared" si="0"/>
        <v>Conservador-Hotelarias</v>
      </c>
      <c r="C8" s="56" t="s">
        <v>33</v>
      </c>
      <c r="D8" s="56" t="s">
        <v>43</v>
      </c>
      <c r="E8" s="64">
        <v>0.02</v>
      </c>
    </row>
    <row r="9" spans="2:13" x14ac:dyDescent="0.35">
      <c r="B9" s="56" t="str">
        <f t="shared" si="0"/>
        <v>Moderado-Papel</v>
      </c>
      <c r="C9" s="56" t="s">
        <v>21</v>
      </c>
      <c r="D9" s="56" t="s">
        <v>39</v>
      </c>
      <c r="E9" s="64">
        <v>0.35</v>
      </c>
    </row>
    <row r="10" spans="2:13" x14ac:dyDescent="0.35">
      <c r="B10" s="56" t="str">
        <f t="shared" si="0"/>
        <v>Moderado-Tijolo</v>
      </c>
      <c r="C10" s="56" t="s">
        <v>21</v>
      </c>
      <c r="D10" s="56" t="s">
        <v>44</v>
      </c>
      <c r="E10" s="64">
        <v>0.3</v>
      </c>
    </row>
    <row r="11" spans="2:13" x14ac:dyDescent="0.35">
      <c r="B11" s="56" t="str">
        <f t="shared" si="0"/>
        <v>Moderado-Híbridos</v>
      </c>
      <c r="C11" s="56" t="s">
        <v>21</v>
      </c>
      <c r="D11" s="56" t="s">
        <v>42</v>
      </c>
      <c r="E11" s="64">
        <v>0.2</v>
      </c>
    </row>
    <row r="12" spans="2:13" x14ac:dyDescent="0.35">
      <c r="B12" s="56" t="str">
        <f t="shared" si="0"/>
        <v>Moderado-FOFs</v>
      </c>
      <c r="C12" s="56" t="s">
        <v>21</v>
      </c>
      <c r="D12" s="56" t="s">
        <v>28</v>
      </c>
      <c r="E12" s="64">
        <v>0.1</v>
      </c>
    </row>
    <row r="13" spans="2:13" x14ac:dyDescent="0.35">
      <c r="B13" s="56" t="str">
        <f t="shared" si="0"/>
        <v>Moderado-Desenvolvimento</v>
      </c>
      <c r="C13" s="56" t="s">
        <v>21</v>
      </c>
      <c r="D13" s="56" t="s">
        <v>41</v>
      </c>
      <c r="E13" s="64">
        <v>0.03</v>
      </c>
    </row>
    <row r="14" spans="2:13" x14ac:dyDescent="0.35">
      <c r="B14" s="56" t="str">
        <f t="shared" si="0"/>
        <v>Moderado-Hotelarias</v>
      </c>
      <c r="C14" s="56" t="s">
        <v>21</v>
      </c>
      <c r="D14" s="56" t="s">
        <v>43</v>
      </c>
      <c r="E14" s="64">
        <v>0.02</v>
      </c>
    </row>
    <row r="15" spans="2:13" x14ac:dyDescent="0.35">
      <c r="B15" s="56" t="str">
        <f t="shared" si="0"/>
        <v>Agressivo-Papel</v>
      </c>
      <c r="C15" s="56" t="s">
        <v>32</v>
      </c>
      <c r="D15" s="56" t="s">
        <v>39</v>
      </c>
      <c r="E15" s="64">
        <v>0.15</v>
      </c>
    </row>
    <row r="16" spans="2:13" x14ac:dyDescent="0.35">
      <c r="B16" s="56" t="str">
        <f t="shared" si="0"/>
        <v>Agressivo-Tijolo</v>
      </c>
      <c r="C16" s="56" t="s">
        <v>32</v>
      </c>
      <c r="D16" s="56" t="s">
        <v>44</v>
      </c>
      <c r="E16" s="64">
        <v>0.3</v>
      </c>
    </row>
    <row r="17" spans="2:5" x14ac:dyDescent="0.35">
      <c r="B17" s="56" t="str">
        <f t="shared" si="0"/>
        <v>Agressivo-Híbridos</v>
      </c>
      <c r="C17" s="56" t="s">
        <v>32</v>
      </c>
      <c r="D17" s="56" t="s">
        <v>42</v>
      </c>
      <c r="E17" s="64">
        <v>0.25</v>
      </c>
    </row>
    <row r="18" spans="2:5" x14ac:dyDescent="0.35">
      <c r="B18" s="56" t="str">
        <f t="shared" si="0"/>
        <v>Agressivo-FOFs</v>
      </c>
      <c r="C18" s="56" t="s">
        <v>32</v>
      </c>
      <c r="D18" s="56" t="s">
        <v>28</v>
      </c>
      <c r="E18" s="64">
        <v>0.1</v>
      </c>
    </row>
    <row r="19" spans="2:5" x14ac:dyDescent="0.35">
      <c r="B19" s="56" t="str">
        <f t="shared" si="0"/>
        <v>Agressivo-Desenvolvimento</v>
      </c>
      <c r="C19" s="56" t="s">
        <v>32</v>
      </c>
      <c r="D19" s="56" t="s">
        <v>41</v>
      </c>
      <c r="E19" s="64">
        <v>0.15</v>
      </c>
    </row>
    <row r="20" spans="2:5" x14ac:dyDescent="0.35">
      <c r="B20" s="56" t="str">
        <f t="shared" si="0"/>
        <v>Agressivo-Hotelarias</v>
      </c>
      <c r="C20" s="56" t="s">
        <v>32</v>
      </c>
      <c r="D20" s="56" t="s">
        <v>43</v>
      </c>
      <c r="E20" s="64">
        <v>0.05</v>
      </c>
    </row>
    <row r="22" spans="2:5" x14ac:dyDescent="0.35">
      <c r="B22" s="66" t="s">
        <v>47</v>
      </c>
      <c r="C22" s="83">
        <f>VLOOKUP(B22,$B2:$E20,4,FALSE)</f>
        <v>0.6</v>
      </c>
    </row>
    <row r="24" spans="2:5" ht="15.5" x14ac:dyDescent="0.35">
      <c r="B24" s="51" t="s">
        <v>35</v>
      </c>
      <c r="C24" s="51" t="s">
        <v>32</v>
      </c>
      <c r="D24" s="51" t="s">
        <v>33</v>
      </c>
      <c r="E24" s="51" t="s">
        <v>21</v>
      </c>
    </row>
    <row r="25" spans="2:5" x14ac:dyDescent="0.35">
      <c r="B25" s="56" t="s">
        <v>41</v>
      </c>
      <c r="C25" s="73">
        <v>0.15</v>
      </c>
      <c r="D25" s="73">
        <v>0.03</v>
      </c>
      <c r="E25" s="74">
        <v>0.03</v>
      </c>
    </row>
    <row r="26" spans="2:5" x14ac:dyDescent="0.35">
      <c r="B26" s="60" t="s">
        <v>28</v>
      </c>
      <c r="C26" s="75">
        <v>0.1</v>
      </c>
      <c r="D26" s="75">
        <v>0.05</v>
      </c>
      <c r="E26" s="76">
        <v>0.1</v>
      </c>
    </row>
    <row r="27" spans="2:5" x14ac:dyDescent="0.35">
      <c r="B27" s="60" t="s">
        <v>43</v>
      </c>
      <c r="C27" s="75">
        <v>0.05</v>
      </c>
      <c r="D27" s="75">
        <v>0.02</v>
      </c>
      <c r="E27" s="76">
        <v>0.02</v>
      </c>
    </row>
    <row r="28" spans="2:5" x14ac:dyDescent="0.35">
      <c r="B28" s="60" t="s">
        <v>42</v>
      </c>
      <c r="C28" s="75">
        <v>0.25</v>
      </c>
      <c r="D28" s="75">
        <v>0.1</v>
      </c>
      <c r="E28" s="76">
        <v>0.2</v>
      </c>
    </row>
    <row r="29" spans="2:5" x14ac:dyDescent="0.35">
      <c r="B29" s="60" t="s">
        <v>39</v>
      </c>
      <c r="C29" s="75">
        <v>0.15</v>
      </c>
      <c r="D29" s="75">
        <v>0.6</v>
      </c>
      <c r="E29" s="76">
        <v>0.25</v>
      </c>
    </row>
    <row r="30" spans="2:5" x14ac:dyDescent="0.35">
      <c r="B30" s="61" t="s">
        <v>44</v>
      </c>
      <c r="C30" s="77">
        <v>0.03</v>
      </c>
      <c r="D30" s="77">
        <v>0.2</v>
      </c>
      <c r="E30" s="78">
        <v>0.3</v>
      </c>
    </row>
    <row r="31" spans="2:5" x14ac:dyDescent="0.35">
      <c r="D31" s="2"/>
      <c r="E31" s="2"/>
    </row>
    <row r="32" spans="2:5" x14ac:dyDescent="0.35">
      <c r="E32" s="62"/>
    </row>
    <row r="33" spans="5:5" x14ac:dyDescent="0.35">
      <c r="E33" s="62"/>
    </row>
    <row r="34" spans="5:5" x14ac:dyDescent="0.35">
      <c r="E34" s="62"/>
    </row>
    <row r="35" spans="5:5" x14ac:dyDescent="0.35">
      <c r="E35" s="62"/>
    </row>
    <row r="36" spans="5:5" x14ac:dyDescent="0.35">
      <c r="E36" s="62"/>
    </row>
    <row r="37" spans="5:5" x14ac:dyDescent="0.35">
      <c r="E37" s="62"/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15</vt:i4>
      </vt:variant>
    </vt:vector>
  </HeadingPairs>
  <TitlesOfParts>
    <vt:vector size="17" baseType="lpstr">
      <vt:lpstr>Investimento_Por_FII</vt:lpstr>
      <vt:lpstr>Perfil_Investidor</vt:lpstr>
      <vt:lpstr>Div_mensal</vt:lpstr>
      <vt:lpstr>Investir_mes</vt:lpstr>
      <vt:lpstr>Patrimonio_acumulado</vt:lpstr>
      <vt:lpstr>Qtd_10_anos</vt:lpstr>
      <vt:lpstr>Qtd_15_anos</vt:lpstr>
      <vt:lpstr>Qtd_2_anos</vt:lpstr>
      <vt:lpstr>Qtd_20_anos</vt:lpstr>
      <vt:lpstr>Qtd_25_anos</vt:lpstr>
      <vt:lpstr>Qtd_30_anos</vt:lpstr>
      <vt:lpstr>Qtd_5_anos</vt:lpstr>
      <vt:lpstr>Quantos_anos</vt:lpstr>
      <vt:lpstr>Rend_carteira</vt:lpstr>
      <vt:lpstr>Rendimento_mensal</vt:lpstr>
      <vt:lpstr>Salario</vt:lpstr>
      <vt:lpstr>sugestao_investimento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Marques</dc:creator>
  <cp:lastModifiedBy>Manoel Marques</cp:lastModifiedBy>
  <dcterms:created xsi:type="dcterms:W3CDTF">2026-02-08T20:04:26Z</dcterms:created>
  <dcterms:modified xsi:type="dcterms:W3CDTF">2026-02-09T01:41:49Z</dcterms:modified>
</cp:coreProperties>
</file>